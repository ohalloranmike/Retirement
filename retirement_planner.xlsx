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nstructions" sheetId="2" state="visible" r:id="rId2"/>
    <sheet name="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Income by source (retirement)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'Projection'!B35</f>
            </strRef>
          </tx>
          <spPr>
            <a:ln>
              <a:prstDash val="solid"/>
            </a:ln>
          </spPr>
          <cat>
            <numRef>
              <f>'Projection'!$A$36:$A$61</f>
            </numRef>
          </cat>
          <val>
            <numRef>
              <f>'Projection'!$B$36:$B$61</f>
            </numRef>
          </val>
        </ser>
        <ser>
          <idx val="1"/>
          <order val="1"/>
          <tx>
            <strRef>
              <f>'Projection'!C35</f>
            </strRef>
          </tx>
          <spPr>
            <a:ln>
              <a:prstDash val="solid"/>
            </a:ln>
          </spPr>
          <cat>
            <numRef>
              <f>'Projection'!$A$36:$A$61</f>
            </numRef>
          </cat>
          <val>
            <numRef>
              <f>'Projection'!$C$36:$C$61</f>
            </numRef>
          </val>
        </ser>
        <ser>
          <idx val="2"/>
          <order val="2"/>
          <tx>
            <strRef>
              <f>'Projection'!D35</f>
            </strRef>
          </tx>
          <spPr>
            <a:ln>
              <a:prstDash val="solid"/>
            </a:ln>
          </spPr>
          <cat>
            <numRef>
              <f>'Projection'!$A$36:$A$61</f>
            </numRef>
          </cat>
          <val>
            <numRef>
              <f>'Projection'!$D$36:$D$61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portfolio balance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'Projection'!$A$2:$A$32</f>
            </numRef>
          </cat>
          <val>
            <numRef>
              <f>'Projection'!$P$2:$P$32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33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51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8" customWidth="1" min="3" max="3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birth_year</t>
        </is>
      </c>
      <c r="B2" t="inlineStr">
        <is>
          <t>Birth year</t>
        </is>
      </c>
      <c r="C2" t="n">
        <v>1965</v>
      </c>
    </row>
    <row r="3">
      <c r="A3" t="inlineStr">
        <is>
          <t>retirement_age</t>
        </is>
      </c>
      <c r="B3" t="inlineStr">
        <is>
          <t>Retirement age</t>
        </is>
      </c>
      <c r="C3" t="n">
        <v>65</v>
      </c>
    </row>
    <row r="4">
      <c r="A4" t="inlineStr">
        <is>
          <t>life_expectancy_age</t>
        </is>
      </c>
      <c r="B4" t="inlineStr">
        <is>
          <t>Life expectancy (age)</t>
        </is>
      </c>
      <c r="C4" t="n">
        <v>90</v>
      </c>
    </row>
    <row r="5">
      <c r="A5" t="inlineStr">
        <is>
          <t>planning_start_year</t>
        </is>
      </c>
      <c r="B5" t="inlineStr">
        <is>
          <t>Planning start year</t>
        </is>
      </c>
      <c r="C5" t="n">
        <v>2025</v>
      </c>
    </row>
    <row r="6">
      <c r="A6" t="inlineStr">
        <is>
          <t>balance_401k</t>
        </is>
      </c>
      <c r="B6" t="inlineStr">
        <is>
          <t>401(k) balance ($)</t>
        </is>
      </c>
      <c r="C6" t="n">
        <v>450000</v>
      </c>
    </row>
    <row r="7">
      <c r="A7" t="inlineStr">
        <is>
          <t>balance_traditional_ira</t>
        </is>
      </c>
      <c r="B7" t="inlineStr">
        <is>
          <t>Traditional IRA ($)</t>
        </is>
      </c>
      <c r="C7" t="n">
        <v>120000</v>
      </c>
    </row>
    <row r="8">
      <c r="A8" t="inlineStr">
        <is>
          <t>balance_roth_ira</t>
        </is>
      </c>
      <c r="B8" t="inlineStr">
        <is>
          <t>Roth IRA ($)</t>
        </is>
      </c>
      <c r="C8" t="n">
        <v>80000</v>
      </c>
    </row>
    <row r="9">
      <c r="A9" t="inlineStr">
        <is>
          <t>balance_taxable</t>
        </is>
      </c>
      <c r="B9" t="inlineStr">
        <is>
          <t>Taxable account ($)</t>
        </is>
      </c>
      <c r="C9" t="n">
        <v>150000</v>
      </c>
    </row>
    <row r="10">
      <c r="A10" t="inlineStr">
        <is>
          <t>annual_salary</t>
        </is>
      </c>
      <c r="B10" t="inlineStr">
        <is>
          <t>Annual salary ($)</t>
        </is>
      </c>
      <c r="C10" t="n">
        <v>120000</v>
      </c>
    </row>
    <row r="11">
      <c r="A11" t="inlineStr">
        <is>
          <t>employee_401k_contribution</t>
        </is>
      </c>
      <c r="B11" t="inlineStr">
        <is>
          <t>Employee 401(k) deferral ($/yr)</t>
        </is>
      </c>
      <c r="C11" t="n">
        <v>15000</v>
      </c>
    </row>
    <row r="12">
      <c r="A12" t="inlineStr">
        <is>
          <t>employer_match_rate</t>
        </is>
      </c>
      <c r="B12" t="inlineStr">
        <is>
          <t>Employer match rate (0–1)</t>
        </is>
      </c>
      <c r="C12" t="n">
        <v>0.5</v>
      </c>
    </row>
    <row r="13">
      <c r="A13" t="inlineStr">
        <is>
          <t>employer_match_up_to_pct_of_salary</t>
        </is>
      </c>
      <c r="B13" t="inlineStr">
        <is>
          <t>Match applies to first % of salary</t>
        </is>
      </c>
      <c r="C13" t="n">
        <v>0.06</v>
      </c>
    </row>
    <row r="14">
      <c r="A14" t="inlineStr">
        <is>
          <t>annual_ira_contribution</t>
        </is>
      </c>
      <c r="B14" t="inlineStr">
        <is>
          <t>IRA contribution ($/yr)</t>
        </is>
      </c>
      <c r="C14" t="n">
        <v>7000</v>
      </c>
    </row>
    <row r="15">
      <c r="A15" t="inlineStr">
        <is>
          <t>ira_is_roth</t>
        </is>
      </c>
      <c r="B15" t="inlineStr">
        <is>
          <t>IRA is Roth? (TRUE/FALSE)</t>
        </is>
      </c>
      <c r="C15" t="inlineStr">
        <is>
          <t>TRUE</t>
        </is>
      </c>
    </row>
    <row r="16">
      <c r="A16" t="inlineStr">
        <is>
          <t>annual_return_pre_retirement</t>
        </is>
      </c>
      <c r="B16" t="inlineStr">
        <is>
          <t>Return pre-retirement (0–1)</t>
        </is>
      </c>
      <c r="C16" t="n">
        <v>0.07000000000000001</v>
      </c>
    </row>
    <row r="17">
      <c r="A17" t="inlineStr">
        <is>
          <t>annual_return_post_retirement</t>
        </is>
      </c>
      <c r="B17" t="inlineStr">
        <is>
          <t>Return in retirement (0–1)</t>
        </is>
      </c>
      <c r="C17" t="n">
        <v>0.05</v>
      </c>
    </row>
    <row r="18">
      <c r="A18" t="inlineStr">
        <is>
          <t>pension_monthly_at_start</t>
        </is>
      </c>
      <c r="B18" t="inlineStr">
        <is>
          <t>Pension monthly at start ($)</t>
        </is>
      </c>
      <c r="C18" t="n">
        <v>2500</v>
      </c>
    </row>
    <row r="19">
      <c r="A19" t="inlineStr">
        <is>
          <t>pension_start_age</t>
        </is>
      </c>
      <c r="B19" t="inlineStr">
        <is>
          <t>Pension start age</t>
        </is>
      </c>
      <c r="C19" t="n">
        <v>65</v>
      </c>
    </row>
    <row r="20">
      <c r="A20" t="inlineStr">
        <is>
          <t>pension_cola_pct</t>
        </is>
      </c>
      <c r="B20" t="inlineStr">
        <is>
          <t>Pension COLA (0–1)</t>
        </is>
      </c>
      <c r="C20" t="n">
        <v>0</v>
      </c>
    </row>
    <row r="21">
      <c r="A21" t="inlineStr">
        <is>
          <t>ss_monthly_at_fra</t>
        </is>
      </c>
      <c r="B21" t="inlineStr">
        <is>
          <t>SS monthly at FRA ($)</t>
        </is>
      </c>
      <c r="C21" t="n">
        <v>3200</v>
      </c>
    </row>
    <row r="22">
      <c r="A22" t="inlineStr">
        <is>
          <t>ss_claim_age</t>
        </is>
      </c>
      <c r="B22" t="inlineStr">
        <is>
          <t>SS claim age (62–70)</t>
        </is>
      </c>
      <c r="C22" t="n">
        <v>67</v>
      </c>
    </row>
    <row r="23">
      <c r="A23" t="inlineStr">
        <is>
          <t>ss_cola_pct</t>
        </is>
      </c>
      <c r="B23" t="inlineStr">
        <is>
          <t>SS COLA (0–1)</t>
        </is>
      </c>
      <c r="C23" t="n">
        <v>0.02</v>
      </c>
    </row>
    <row r="24">
      <c r="A24" t="inlineStr">
        <is>
          <t>ss_fra_age</t>
        </is>
      </c>
      <c r="B24" t="inlineStr">
        <is>
          <t>SS full retirement age</t>
        </is>
      </c>
      <c r="C24" t="n">
        <v>67</v>
      </c>
    </row>
    <row r="25">
      <c r="A25" t="inlineStr">
        <is>
          <t>spouse_ss_monthly_at_fra</t>
        </is>
      </c>
      <c r="B25" t="inlineStr">
        <is>
          <t>Spouse SS monthly at FRA ($)</t>
        </is>
      </c>
      <c r="C25" t="n">
        <v>0</v>
      </c>
    </row>
    <row r="26">
      <c r="A26" t="inlineStr">
        <is>
          <t>spouse_ss_claim_age</t>
        </is>
      </c>
      <c r="B26" t="inlineStr">
        <is>
          <t>Spouse SS claim age</t>
        </is>
      </c>
      <c r="C26" t="n">
        <v>67</v>
      </c>
    </row>
    <row r="27">
      <c r="A27" t="inlineStr">
        <is>
          <t>annual_spending_goal_today</t>
        </is>
      </c>
      <c r="B27" t="inlineStr">
        <is>
          <t>Spending goal (today's $/yr)</t>
        </is>
      </c>
      <c r="C27" t="n">
        <v>85000</v>
      </c>
    </row>
    <row r="28">
      <c r="A28" t="inlineStr">
        <is>
          <t>inflation_pct</t>
        </is>
      </c>
      <c r="B28" t="inlineStr">
        <is>
          <t>Inflation (0–1)</t>
        </is>
      </c>
      <c r="C28" t="n">
        <v>0.03</v>
      </c>
    </row>
    <row r="29">
      <c r="A29" t="inlineStr">
        <is>
          <t>withdrawal_order</t>
        </is>
      </c>
      <c r="B29" t="inlineStr">
        <is>
          <t>Withdrawal order</t>
        </is>
      </c>
      <c r="C29" t="inlineStr">
        <is>
          <t>taxable_traditional_roth</t>
        </is>
      </c>
    </row>
  </sheetData>
  <dataValidations count="1">
    <dataValidation sqref="C29" showDropDown="0" showInputMessage="0" showErrorMessage="0" allowBlank="0" type="list">
      <formula1>"taxable_traditional_roth,traditional_taxable_roth,proportional"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Retirement Planner (v1)</t>
        </is>
      </c>
    </row>
    <row r="3">
      <c r="A3" s="2" t="inlineStr">
        <is>
          <t>1. Edit yellow cells on Inputs.
2. Run: python main.py --excel "path\to\this_file.xlsx" --refresh
   Or: python main.py (uses built-in sample) and open generated projection.
3. Projection sheet is refreshed by Python (RMD, SS, withdrawal order).
4. Not tax advice; SS/pension are simplified models.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3" customWidth="1" min="6" max="6"/>
    <col width="15" customWidth="1" min="7" max="7"/>
    <col width="13" customWidth="1" min="8" max="8"/>
    <col width="18" customWidth="1" min="9" max="9"/>
    <col width="17" customWidth="1" min="10" max="10"/>
    <col width="16" customWidth="1" min="11" max="11"/>
    <col width="14" customWidth="1" min="12" max="12"/>
    <col width="18" customWidth="1" min="13" max="13"/>
    <col width="18" customWidth="1" min="14" max="14"/>
    <col width="17" customWidth="1" min="15" max="15"/>
    <col width="15" customWidth="1" min="16" max="16"/>
    <col width="12" customWidth="1" min="17" max="17"/>
    <col width="17" customWidth="1" min="18" max="18"/>
    <col width="18" customWidth="1" min="19" max="19"/>
    <col width="17" customWidth="1" min="20" max="20"/>
    <col width="18" customWidth="1" min="21" max="21"/>
    <col width="18" customWidth="1" min="22" max="22"/>
    <col width="16" customWidth="1" min="23" max="23"/>
    <col width="12" customWidth="1" min="24" max="24"/>
    <col width="18" customWidth="1" min="25" max="25"/>
    <col width="14" customWidth="1" min="26" max="26"/>
    <col width="15" customWidth="1" min="27" max="27"/>
    <col width="18" customWidth="1" min="28" max="28"/>
    <col width="18" customWidth="1" min="29" max="29"/>
  </cols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phase</t>
        </is>
      </c>
      <c r="D1" s="1" t="inlineStr">
        <is>
          <t>return_rate</t>
        </is>
      </c>
      <c r="E1" s="1" t="inlineStr">
        <is>
          <t>contrib_401k</t>
        </is>
      </c>
      <c r="F1" s="1" t="inlineStr">
        <is>
          <t>contrib_ira</t>
        </is>
      </c>
      <c r="G1" s="1" t="inlineStr">
        <is>
          <t>contrib_total</t>
        </is>
      </c>
      <c r="H1" s="1" t="inlineStr">
        <is>
          <t>growth_401k</t>
        </is>
      </c>
      <c r="I1" s="1" t="inlineStr">
        <is>
          <t>growth_traditional_ira</t>
        </is>
      </c>
      <c r="J1" s="1" t="inlineStr">
        <is>
          <t>growth_roth_ira</t>
        </is>
      </c>
      <c r="K1" s="1" t="inlineStr">
        <is>
          <t>growth_taxable</t>
        </is>
      </c>
      <c r="L1" s="1" t="inlineStr">
        <is>
          <t>balance_401k</t>
        </is>
      </c>
      <c r="M1" s="1" t="inlineStr">
        <is>
          <t>balance_traditional_ira</t>
        </is>
      </c>
      <c r="N1" s="1" t="inlineStr">
        <is>
          <t>balance_roth_ira</t>
        </is>
      </c>
      <c r="O1" s="1" t="inlineStr">
        <is>
          <t>balance_taxable</t>
        </is>
      </c>
      <c r="P1" s="1" t="inlineStr">
        <is>
          <t>balance_total</t>
        </is>
      </c>
      <c r="Q1" s="1" t="inlineStr">
        <is>
          <t>rmd_amount</t>
        </is>
      </c>
      <c r="R1" s="1" t="inlineStr">
        <is>
          <t>withdrawal_401k</t>
        </is>
      </c>
      <c r="S1" s="1" t="inlineStr">
        <is>
          <t>withdrawal_traditional_ira</t>
        </is>
      </c>
      <c r="T1" s="1" t="inlineStr">
        <is>
          <t>withdrawal_roth</t>
        </is>
      </c>
      <c r="U1" s="1" t="inlineStr">
        <is>
          <t>withdrawal_taxable</t>
        </is>
      </c>
      <c r="V1" s="1" t="inlineStr">
        <is>
          <t>withdrawal_total</t>
        </is>
      </c>
      <c r="W1" s="1" t="inlineStr">
        <is>
          <t>pension_income</t>
        </is>
      </c>
      <c r="X1" s="1" t="inlineStr">
        <is>
          <t>ss_income</t>
        </is>
      </c>
      <c r="Y1" s="1" t="inlineStr">
        <is>
          <t>spouse_ss_income</t>
        </is>
      </c>
      <c r="Z1" s="1" t="inlineStr">
        <is>
          <t>income_total</t>
        </is>
      </c>
      <c r="AA1" s="1" t="inlineStr">
        <is>
          <t>spending_need</t>
        </is>
      </c>
      <c r="AB1" s="1" t="inlineStr">
        <is>
          <t>surplus_or_shortfall</t>
        </is>
      </c>
      <c r="AC1" s="1" t="inlineStr">
        <is>
          <t>cumulative_shortfall</t>
        </is>
      </c>
    </row>
    <row r="2">
      <c r="A2" t="n">
        <v>2025</v>
      </c>
      <c r="B2" t="n">
        <v>60</v>
      </c>
      <c r="C2" t="inlineStr">
        <is>
          <t>accumulation</t>
        </is>
      </c>
      <c r="D2" s="3" t="n">
        <v>0.07000000000000001</v>
      </c>
      <c r="E2" t="n">
        <v>18600</v>
      </c>
      <c r="F2" t="n">
        <v>7000</v>
      </c>
      <c r="G2" t="n">
        <v>25600</v>
      </c>
      <c r="H2" t="n">
        <v>32802</v>
      </c>
      <c r="I2" t="n">
        <v>8400</v>
      </c>
      <c r="J2" t="n">
        <v>6090.000000000001</v>
      </c>
      <c r="K2" t="n">
        <v>10500</v>
      </c>
      <c r="L2" t="n">
        <v>501402</v>
      </c>
      <c r="M2" t="n">
        <v>128400</v>
      </c>
      <c r="N2" t="n">
        <v>93090</v>
      </c>
      <c r="O2" t="n">
        <v>160500</v>
      </c>
      <c r="P2" t="n">
        <v>883392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2026</v>
      </c>
      <c r="B3" t="n">
        <v>61</v>
      </c>
      <c r="C3" t="inlineStr">
        <is>
          <t>accumulation</t>
        </is>
      </c>
      <c r="D3" s="3" t="n">
        <v>0.07000000000000001</v>
      </c>
      <c r="E3" t="n">
        <v>18600</v>
      </c>
      <c r="F3" t="n">
        <v>7000</v>
      </c>
      <c r="G3" t="n">
        <v>25600</v>
      </c>
      <c r="H3" t="n">
        <v>36400.14000000001</v>
      </c>
      <c r="I3" t="n">
        <v>8988</v>
      </c>
      <c r="J3" t="n">
        <v>7006.300000000001</v>
      </c>
      <c r="K3" t="n">
        <v>11235</v>
      </c>
      <c r="L3" t="n">
        <v>556402.14</v>
      </c>
      <c r="M3" t="n">
        <v>137388</v>
      </c>
      <c r="N3" t="n">
        <v>107096.3</v>
      </c>
      <c r="O3" t="n">
        <v>171735</v>
      </c>
      <c r="P3" t="n">
        <v>972621.4400000001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2027</v>
      </c>
      <c r="B4" t="n">
        <v>62</v>
      </c>
      <c r="C4" t="inlineStr">
        <is>
          <t>accumulation</t>
        </is>
      </c>
      <c r="D4" s="3" t="n">
        <v>0.07000000000000001</v>
      </c>
      <c r="E4" t="n">
        <v>18600</v>
      </c>
      <c r="F4" t="n">
        <v>7000</v>
      </c>
      <c r="G4" t="n">
        <v>25600</v>
      </c>
      <c r="H4" t="n">
        <v>40250.14980000001</v>
      </c>
      <c r="I4" t="n">
        <v>9617.160000000002</v>
      </c>
      <c r="J4" t="n">
        <v>7986.741000000001</v>
      </c>
      <c r="K4" t="n">
        <v>12021.45</v>
      </c>
      <c r="L4" t="n">
        <v>615252.2898</v>
      </c>
      <c r="M4" t="n">
        <v>147005.16</v>
      </c>
      <c r="N4" t="n">
        <v>122083.041</v>
      </c>
      <c r="O4" t="n">
        <v>183756.45</v>
      </c>
      <c r="P4" t="n">
        <v>1068096.9408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2028</v>
      </c>
      <c r="B5" t="n">
        <v>63</v>
      </c>
      <c r="C5" t="inlineStr">
        <is>
          <t>accumulation</t>
        </is>
      </c>
      <c r="D5" s="3" t="n">
        <v>0.07000000000000001</v>
      </c>
      <c r="E5" t="n">
        <v>18600</v>
      </c>
      <c r="F5" t="n">
        <v>7000</v>
      </c>
      <c r="G5" t="n">
        <v>25600</v>
      </c>
      <c r="H5" t="n">
        <v>44369.66028600001</v>
      </c>
      <c r="I5" t="n">
        <v>10290.3612</v>
      </c>
      <c r="J5" t="n">
        <v>9035.812870000002</v>
      </c>
      <c r="K5" t="n">
        <v>12862.9515</v>
      </c>
      <c r="L5" t="n">
        <v>678221.950086</v>
      </c>
      <c r="M5" t="n">
        <v>157295.5212</v>
      </c>
      <c r="N5" t="n">
        <v>138118.85387</v>
      </c>
      <c r="O5" t="n">
        <v>196619.4015</v>
      </c>
      <c r="P5" t="n">
        <v>1170255.726656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2029</v>
      </c>
      <c r="B6" t="n">
        <v>64</v>
      </c>
      <c r="C6" t="inlineStr">
        <is>
          <t>accumulation</t>
        </is>
      </c>
      <c r="D6" s="3" t="n">
        <v>0.07000000000000001</v>
      </c>
      <c r="E6" t="n">
        <v>18600</v>
      </c>
      <c r="F6" t="n">
        <v>7000</v>
      </c>
      <c r="G6" t="n">
        <v>25600</v>
      </c>
      <c r="H6" t="n">
        <v>48777.53650602001</v>
      </c>
      <c r="I6" t="n">
        <v>11010.686484</v>
      </c>
      <c r="J6" t="n">
        <v>10158.3197709</v>
      </c>
      <c r="K6" t="n">
        <v>13763.358105</v>
      </c>
      <c r="L6" t="n">
        <v>745599.48659202</v>
      </c>
      <c r="M6" t="n">
        <v>168306.207684</v>
      </c>
      <c r="N6" t="n">
        <v>155277.1736409</v>
      </c>
      <c r="O6" t="n">
        <v>210382.759605</v>
      </c>
      <c r="P6" t="n">
        <v>1279565.62752192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2030</v>
      </c>
      <c r="B7" t="n">
        <v>65</v>
      </c>
      <c r="C7" t="inlineStr">
        <is>
          <t>retirement</t>
        </is>
      </c>
      <c r="D7" s="3" t="n">
        <v>0.05</v>
      </c>
      <c r="E7" t="n">
        <v>0</v>
      </c>
      <c r="F7" t="n">
        <v>0</v>
      </c>
      <c r="G7" t="n">
        <v>0</v>
      </c>
      <c r="H7" t="n">
        <v>37279.97432960101</v>
      </c>
      <c r="I7" t="n">
        <v>8415.310384200002</v>
      </c>
      <c r="J7" t="n">
        <v>7763.858682045</v>
      </c>
      <c r="K7" t="n">
        <v>10519.13798025</v>
      </c>
      <c r="L7" t="n">
        <v>782879.4609216211</v>
      </c>
      <c r="M7" t="n">
        <v>176721.5180682</v>
      </c>
      <c r="N7" t="n">
        <v>163041.032322945</v>
      </c>
      <c r="O7" t="n">
        <v>157141.82349875</v>
      </c>
      <c r="P7" t="n">
        <v>1279783.834811516</v>
      </c>
      <c r="Q7" t="n">
        <v>0</v>
      </c>
      <c r="R7" t="n">
        <v>0</v>
      </c>
      <c r="S7" t="n">
        <v>0</v>
      </c>
      <c r="T7" t="n">
        <v>0</v>
      </c>
      <c r="U7" t="n">
        <v>63760.0740865</v>
      </c>
      <c r="V7" t="n">
        <v>63760.0740865</v>
      </c>
      <c r="W7" t="n">
        <v>34778.222229</v>
      </c>
      <c r="X7" t="n">
        <v>0</v>
      </c>
      <c r="Y7" t="n">
        <v>0</v>
      </c>
      <c r="Z7" t="n">
        <v>98538.2963155</v>
      </c>
      <c r="AA7" t="n">
        <v>98538.2963155</v>
      </c>
      <c r="AB7" t="n">
        <v>0</v>
      </c>
      <c r="AC7" t="n">
        <v>0</v>
      </c>
    </row>
    <row r="8">
      <c r="A8" t="n">
        <v>2031</v>
      </c>
      <c r="B8" t="n">
        <v>66</v>
      </c>
      <c r="C8" t="inlineStr">
        <is>
          <t>retirement</t>
        </is>
      </c>
      <c r="D8" s="3" t="n">
        <v>0.05</v>
      </c>
      <c r="E8" t="n">
        <v>0</v>
      </c>
      <c r="F8" t="n">
        <v>0</v>
      </c>
      <c r="G8" t="n">
        <v>0</v>
      </c>
      <c r="H8" t="n">
        <v>39143.97304608105</v>
      </c>
      <c r="I8" t="n">
        <v>8836.075903410003</v>
      </c>
      <c r="J8" t="n">
        <v>8152.051616147251</v>
      </c>
      <c r="K8" t="n">
        <v>7857.0911749375</v>
      </c>
      <c r="L8" t="n">
        <v>822023.4339677021</v>
      </c>
      <c r="M8" t="n">
        <v>185557.59397161</v>
      </c>
      <c r="N8" t="n">
        <v>171193.0839390923</v>
      </c>
      <c r="O8" t="n">
        <v>99326.03836459247</v>
      </c>
      <c r="P8" t="n">
        <v>1278100.150242997</v>
      </c>
      <c r="Q8" t="n">
        <v>0</v>
      </c>
      <c r="R8" t="n">
        <v>0</v>
      </c>
      <c r="S8" t="n">
        <v>0</v>
      </c>
      <c r="T8" t="n">
        <v>0</v>
      </c>
      <c r="U8" t="n">
        <v>65672.87630909501</v>
      </c>
      <c r="V8" t="n">
        <v>65672.87630909501</v>
      </c>
      <c r="W8" t="n">
        <v>35821.56889587</v>
      </c>
      <c r="X8" t="n">
        <v>0</v>
      </c>
      <c r="Y8" t="n">
        <v>0</v>
      </c>
      <c r="Z8" t="n">
        <v>101494.445204965</v>
      </c>
      <c r="AA8" t="n">
        <v>101494.445204965</v>
      </c>
      <c r="AB8" t="n">
        <v>0</v>
      </c>
      <c r="AC8" t="n">
        <v>0</v>
      </c>
    </row>
    <row r="9">
      <c r="A9" t="n">
        <v>2032</v>
      </c>
      <c r="B9" t="n">
        <v>67</v>
      </c>
      <c r="C9" t="inlineStr">
        <is>
          <t>retirement</t>
        </is>
      </c>
      <c r="D9" s="3" t="n">
        <v>0.05</v>
      </c>
      <c r="E9" t="n">
        <v>0</v>
      </c>
      <c r="F9" t="n">
        <v>0</v>
      </c>
      <c r="G9" t="n">
        <v>0</v>
      </c>
      <c r="H9" t="n">
        <v>41101.17169838511</v>
      </c>
      <c r="I9" t="n">
        <v>9277.879698580502</v>
      </c>
      <c r="J9" t="n">
        <v>8559.654196954614</v>
      </c>
      <c r="K9" t="n">
        <v>4966.301918229624</v>
      </c>
      <c r="L9" t="n">
        <v>863124.6056660872</v>
      </c>
      <c r="M9" t="n">
        <v>194835.4736701905</v>
      </c>
      <c r="N9" t="n">
        <v>179752.7381360469</v>
      </c>
      <c r="O9" t="n">
        <v>80758.80732218659</v>
      </c>
      <c r="P9" t="n">
        <v>1318471.624794511</v>
      </c>
      <c r="Q9" t="n">
        <v>0</v>
      </c>
      <c r="R9" t="n">
        <v>0</v>
      </c>
      <c r="S9" t="n">
        <v>0</v>
      </c>
      <c r="T9" t="n">
        <v>0</v>
      </c>
      <c r="U9" t="n">
        <v>23533.53296063551</v>
      </c>
      <c r="V9" t="n">
        <v>23533.53296063551</v>
      </c>
      <c r="W9" t="n">
        <v>36896.21596274611</v>
      </c>
      <c r="X9" t="n">
        <v>44109.52963773235</v>
      </c>
      <c r="Y9" t="n">
        <v>0</v>
      </c>
      <c r="Z9" t="n">
        <v>104539.278561114</v>
      </c>
      <c r="AA9" t="n">
        <v>104539.278561114</v>
      </c>
      <c r="AB9" t="n">
        <v>0</v>
      </c>
      <c r="AC9" t="n">
        <v>0</v>
      </c>
    </row>
    <row r="10">
      <c r="A10" t="n">
        <v>2033</v>
      </c>
      <c r="B10" t="n">
        <v>68</v>
      </c>
      <c r="C10" t="inlineStr">
        <is>
          <t>retirement</t>
        </is>
      </c>
      <c r="D10" s="3" t="n">
        <v>0.05</v>
      </c>
      <c r="E10" t="n">
        <v>0</v>
      </c>
      <c r="F10" t="n">
        <v>0</v>
      </c>
      <c r="G10" t="n">
        <v>0</v>
      </c>
      <c r="H10" t="n">
        <v>43156.23028330437</v>
      </c>
      <c r="I10" t="n">
        <v>9741.773683509527</v>
      </c>
      <c r="J10" t="n">
        <v>8987.636906802345</v>
      </c>
      <c r="K10" t="n">
        <v>4037.94036610933</v>
      </c>
      <c r="L10" t="n">
        <v>906280.8359493916</v>
      </c>
      <c r="M10" t="n">
        <v>204577.2473537001</v>
      </c>
      <c r="N10" t="n">
        <v>188740.3750428492</v>
      </c>
      <c r="O10" t="n">
        <v>60116.11344246402</v>
      </c>
      <c r="P10" t="n">
        <v>1359714.571788405</v>
      </c>
      <c r="Q10" t="n">
        <v>0</v>
      </c>
      <c r="R10" t="n">
        <v>0</v>
      </c>
      <c r="S10" t="n">
        <v>0</v>
      </c>
      <c r="T10" t="n">
        <v>0</v>
      </c>
      <c r="U10" t="n">
        <v>24680.6342458319</v>
      </c>
      <c r="V10" t="n">
        <v>24680.6342458319</v>
      </c>
      <c r="W10" t="n">
        <v>38003.10244162849</v>
      </c>
      <c r="X10" t="n">
        <v>44991.72023048701</v>
      </c>
      <c r="Y10" t="n">
        <v>0</v>
      </c>
      <c r="Z10" t="n">
        <v>107675.4569179474</v>
      </c>
      <c r="AA10" t="n">
        <v>107675.4569179474</v>
      </c>
      <c r="AB10" t="n">
        <v>0</v>
      </c>
      <c r="AC10" t="n">
        <v>0</v>
      </c>
    </row>
    <row r="11">
      <c r="A11" t="n">
        <v>2034</v>
      </c>
      <c r="B11" t="n">
        <v>69</v>
      </c>
      <c r="C11" t="inlineStr">
        <is>
          <t>retirement</t>
        </is>
      </c>
      <c r="D11" s="3" t="n">
        <v>0.05</v>
      </c>
      <c r="E11" t="n">
        <v>0</v>
      </c>
      <c r="F11" t="n">
        <v>0</v>
      </c>
      <c r="G11" t="n">
        <v>0</v>
      </c>
      <c r="H11" t="n">
        <v>45314.04179746958</v>
      </c>
      <c r="I11" t="n">
        <v>10228.862367685</v>
      </c>
      <c r="J11" t="n">
        <v>9437.018752142461</v>
      </c>
      <c r="K11" t="n">
        <v>3005.805672123201</v>
      </c>
      <c r="L11" t="n">
        <v>951594.8777468612</v>
      </c>
      <c r="M11" t="n">
        <v>214806.1097213851</v>
      </c>
      <c r="N11" t="n">
        <v>198177.3937949917</v>
      </c>
      <c r="O11" t="n">
        <v>37250.94863907549</v>
      </c>
      <c r="P11" t="n">
        <v>1401829.329902314</v>
      </c>
      <c r="Q11" t="n">
        <v>0</v>
      </c>
      <c r="R11" t="n">
        <v>0</v>
      </c>
      <c r="S11" t="n">
        <v>0</v>
      </c>
      <c r="T11" t="n">
        <v>0</v>
      </c>
      <c r="U11" t="n">
        <v>25870.97047551173</v>
      </c>
      <c r="V11" t="n">
        <v>25870.97047551173</v>
      </c>
      <c r="W11" t="n">
        <v>39143.19551487735</v>
      </c>
      <c r="X11" t="n">
        <v>45891.55463509674</v>
      </c>
      <c r="Y11" t="n">
        <v>0</v>
      </c>
      <c r="Z11" t="n">
        <v>110905.7206254858</v>
      </c>
      <c r="AA11" t="n">
        <v>110905.7206254858</v>
      </c>
      <c r="AB11" t="n">
        <v>0</v>
      </c>
      <c r="AC11" t="n">
        <v>0</v>
      </c>
    </row>
    <row r="12">
      <c r="A12" t="n">
        <v>2035</v>
      </c>
      <c r="B12" t="n">
        <v>70</v>
      </c>
      <c r="C12" t="inlineStr">
        <is>
          <t>retirement</t>
        </is>
      </c>
      <c r="D12" s="3" t="n">
        <v>0.05</v>
      </c>
      <c r="E12" t="n">
        <v>0</v>
      </c>
      <c r="F12" t="n">
        <v>0</v>
      </c>
      <c r="G12" t="n">
        <v>0</v>
      </c>
      <c r="H12" t="n">
        <v>47579.74388734307</v>
      </c>
      <c r="I12" t="n">
        <v>10740.30548606926</v>
      </c>
      <c r="J12" t="n">
        <v>9908.869689749585</v>
      </c>
      <c r="K12" t="n">
        <v>1862.547431953775</v>
      </c>
      <c r="L12" t="n">
        <v>999174.6216342043</v>
      </c>
      <c r="M12" t="n">
        <v>225546.4152074544</v>
      </c>
      <c r="N12" t="n">
        <v>208086.2634847413</v>
      </c>
      <c r="O12" t="n">
        <v>12007.48093490122</v>
      </c>
      <c r="P12" t="n">
        <v>1444814.781261301</v>
      </c>
      <c r="Q12" t="n">
        <v>0</v>
      </c>
      <c r="R12" t="n">
        <v>0</v>
      </c>
      <c r="S12" t="n">
        <v>0</v>
      </c>
      <c r="T12" t="n">
        <v>0</v>
      </c>
      <c r="U12" t="n">
        <v>27106.01513612804</v>
      </c>
      <c r="V12" t="n">
        <v>27106.01513612804</v>
      </c>
      <c r="W12" t="n">
        <v>40317.49138032366</v>
      </c>
      <c r="X12" t="n">
        <v>46809.38572779868</v>
      </c>
      <c r="Y12" t="n">
        <v>0</v>
      </c>
      <c r="Z12" t="n">
        <v>114232.8922442504</v>
      </c>
      <c r="AA12" t="n">
        <v>114232.8922442504</v>
      </c>
      <c r="AB12" t="n">
        <v>0</v>
      </c>
      <c r="AC12" t="n">
        <v>0</v>
      </c>
    </row>
    <row r="13">
      <c r="A13" t="n">
        <v>2036</v>
      </c>
      <c r="B13" t="n">
        <v>71</v>
      </c>
      <c r="C13" t="inlineStr">
        <is>
          <t>retirement</t>
        </is>
      </c>
      <c r="D13" s="3" t="n">
        <v>0.05</v>
      </c>
      <c r="E13" t="n">
        <v>0</v>
      </c>
      <c r="F13" t="n">
        <v>0</v>
      </c>
      <c r="G13" t="n">
        <v>0</v>
      </c>
      <c r="H13" t="n">
        <v>49958.73108171022</v>
      </c>
      <c r="I13" t="n">
        <v>11277.32076037272</v>
      </c>
      <c r="J13" t="n">
        <v>10404.31317423706</v>
      </c>
      <c r="K13" t="n">
        <v>600.374046745061</v>
      </c>
      <c r="L13" t="n">
        <v>1033353.918250071</v>
      </c>
      <c r="M13" t="n">
        <v>236823.7359678271</v>
      </c>
      <c r="N13" t="n">
        <v>218490.5766589783</v>
      </c>
      <c r="O13" t="n">
        <v>0</v>
      </c>
      <c r="P13" t="n">
        <v>1488668.230876877</v>
      </c>
      <c r="Q13" t="n">
        <v>0</v>
      </c>
      <c r="R13" t="n">
        <v>15779.43446584358</v>
      </c>
      <c r="S13" t="n">
        <v>0</v>
      </c>
      <c r="T13" t="n">
        <v>0</v>
      </c>
      <c r="U13" t="n">
        <v>12607.85498164628</v>
      </c>
      <c r="V13" t="n">
        <v>28387.28944748986</v>
      </c>
      <c r="W13" t="n">
        <v>41527.01612173338</v>
      </c>
      <c r="X13" t="n">
        <v>47745.57344235465</v>
      </c>
      <c r="Y13" t="n">
        <v>0</v>
      </c>
      <c r="Z13" t="n">
        <v>117659.8790115779</v>
      </c>
      <c r="AA13" t="n">
        <v>117659.8790115779</v>
      </c>
      <c r="AB13" t="n">
        <v>0</v>
      </c>
      <c r="AC13" t="n">
        <v>0</v>
      </c>
    </row>
    <row r="14">
      <c r="A14" t="n">
        <v>2037</v>
      </c>
      <c r="B14" t="n">
        <v>72</v>
      </c>
      <c r="C14" t="inlineStr">
        <is>
          <t>retirement</t>
        </is>
      </c>
      <c r="D14" s="3" t="n">
        <v>0.05</v>
      </c>
      <c r="E14" t="n">
        <v>0</v>
      </c>
      <c r="F14" t="n">
        <v>0</v>
      </c>
      <c r="G14" t="n">
        <v>0</v>
      </c>
      <c r="H14" t="n">
        <v>51667.69591250355</v>
      </c>
      <c r="I14" t="n">
        <v>11841.18679839135</v>
      </c>
      <c r="J14" t="n">
        <v>10924.52883294892</v>
      </c>
      <c r="K14" t="n">
        <v>0</v>
      </c>
      <c r="L14" t="n">
        <v>1055305.250297236</v>
      </c>
      <c r="M14" t="n">
        <v>248664.9227662184</v>
      </c>
      <c r="N14" t="n">
        <v>229415.1054919272</v>
      </c>
      <c r="O14" t="n">
        <v>0</v>
      </c>
      <c r="P14" t="n">
        <v>1533385.278555382</v>
      </c>
      <c r="Q14" t="n">
        <v>0</v>
      </c>
      <c r="R14" t="n">
        <v>29716.36386533811</v>
      </c>
      <c r="S14" t="n">
        <v>0</v>
      </c>
      <c r="T14" t="n">
        <v>0</v>
      </c>
      <c r="U14" t="n">
        <v>0</v>
      </c>
      <c r="V14" t="n">
        <v>29716.36386533811</v>
      </c>
      <c r="W14" t="n">
        <v>42772.82660538538</v>
      </c>
      <c r="X14" t="n">
        <v>48700.48491120175</v>
      </c>
      <c r="Y14" t="n">
        <v>0</v>
      </c>
      <c r="Z14" t="n">
        <v>121189.6753819252</v>
      </c>
      <c r="AA14" t="n">
        <v>121189.6753819252</v>
      </c>
      <c r="AB14" t="n">
        <v>0</v>
      </c>
      <c r="AC14" t="n">
        <v>0</v>
      </c>
    </row>
    <row r="15">
      <c r="A15" t="n">
        <v>2038</v>
      </c>
      <c r="B15" t="n">
        <v>73</v>
      </c>
      <c r="C15" t="inlineStr">
        <is>
          <t>retirement</t>
        </is>
      </c>
      <c r="D15" s="3" t="n">
        <v>0.05</v>
      </c>
      <c r="E15" t="n">
        <v>0</v>
      </c>
      <c r="F15" t="n">
        <v>0</v>
      </c>
      <c r="G15" t="n">
        <v>0</v>
      </c>
      <c r="H15" t="n">
        <v>52765.26251486182</v>
      </c>
      <c r="I15" t="n">
        <v>12433.24613831092</v>
      </c>
      <c r="J15" t="n">
        <v>11470.75527459636</v>
      </c>
      <c r="K15" t="n">
        <v>0</v>
      </c>
      <c r="L15" t="n">
        <v>1076975.653181688</v>
      </c>
      <c r="M15" t="n">
        <v>261098.1689045294</v>
      </c>
      <c r="N15" t="n">
        <v>240885.8607665236</v>
      </c>
      <c r="O15" t="n">
        <v>0</v>
      </c>
      <c r="P15" t="n">
        <v>1578959.682852741</v>
      </c>
      <c r="Q15" t="n">
        <v>0</v>
      </c>
      <c r="R15" t="n">
        <v>31094.85963041027</v>
      </c>
      <c r="S15" t="n">
        <v>0</v>
      </c>
      <c r="T15" t="n">
        <v>0</v>
      </c>
      <c r="U15" t="n">
        <v>0</v>
      </c>
      <c r="V15" t="n">
        <v>31094.85963041027</v>
      </c>
      <c r="W15" t="n">
        <v>44056.01140354695</v>
      </c>
      <c r="X15" t="n">
        <v>49674.49460942579</v>
      </c>
      <c r="Y15" t="n">
        <v>0</v>
      </c>
      <c r="Z15" t="n">
        <v>124825.365643383</v>
      </c>
      <c r="AA15" t="n">
        <v>124825.365643383</v>
      </c>
      <c r="AB15" t="n">
        <v>0</v>
      </c>
      <c r="AC15" t="n">
        <v>0</v>
      </c>
    </row>
    <row r="16">
      <c r="A16" t="n">
        <v>2039</v>
      </c>
      <c r="B16" t="n">
        <v>74</v>
      </c>
      <c r="C16" t="inlineStr">
        <is>
          <t>retirement</t>
        </is>
      </c>
      <c r="D16" s="3" t="n">
        <v>0.05</v>
      </c>
      <c r="E16" t="n">
        <v>0</v>
      </c>
      <c r="F16" t="n">
        <v>0</v>
      </c>
      <c r="G16" t="n">
        <v>0</v>
      </c>
      <c r="H16" t="n">
        <v>53848.7826590844</v>
      </c>
      <c r="I16" t="n">
        <v>13054.90844522647</v>
      </c>
      <c r="J16" t="n">
        <v>12044.29303832618</v>
      </c>
      <c r="K16" t="n">
        <v>0</v>
      </c>
      <c r="L16" t="n">
        <v>1098299.985475355</v>
      </c>
      <c r="M16" t="n">
        <v>274153.0773497559</v>
      </c>
      <c r="N16" t="n">
        <v>252930.1538048498</v>
      </c>
      <c r="O16" t="n">
        <v>0</v>
      </c>
      <c r="P16" t="n">
        <v>1625383.216629961</v>
      </c>
      <c r="Q16" t="n">
        <v>0</v>
      </c>
      <c r="R16" t="n">
        <v>32524.45036541685</v>
      </c>
      <c r="S16" t="n">
        <v>0</v>
      </c>
      <c r="T16" t="n">
        <v>0</v>
      </c>
      <c r="U16" t="n">
        <v>0</v>
      </c>
      <c r="V16" t="n">
        <v>32524.45036541685</v>
      </c>
      <c r="W16" t="n">
        <v>45377.69174565336</v>
      </c>
      <c r="X16" t="n">
        <v>50667.9845016143</v>
      </c>
      <c r="Y16" t="n">
        <v>0</v>
      </c>
      <c r="Z16" t="n">
        <v>128570.1266126845</v>
      </c>
      <c r="AA16" t="n">
        <v>128570.1266126845</v>
      </c>
      <c r="AB16" t="n">
        <v>0</v>
      </c>
      <c r="AC16" t="n">
        <v>0</v>
      </c>
    </row>
    <row r="17">
      <c r="A17" t="n">
        <v>2040</v>
      </c>
      <c r="B17" t="n">
        <v>75</v>
      </c>
      <c r="C17" t="inlineStr">
        <is>
          <t>retirement</t>
        </is>
      </c>
      <c r="D17" s="3" t="n">
        <v>0.05</v>
      </c>
      <c r="E17" t="n">
        <v>0</v>
      </c>
      <c r="F17" t="n">
        <v>0</v>
      </c>
      <c r="G17" t="n">
        <v>0</v>
      </c>
      <c r="H17" t="n">
        <v>54914.99927376777</v>
      </c>
      <c r="I17" t="n">
        <v>13707.65386748779</v>
      </c>
      <c r="J17" t="n">
        <v>12646.50769024249</v>
      </c>
      <c r="K17" t="n">
        <v>0</v>
      </c>
      <c r="L17" t="n">
        <v>1106336.326832492</v>
      </c>
      <c r="M17" t="n">
        <v>276159.0754767053</v>
      </c>
      <c r="N17" t="n">
        <v>265576.6614950923</v>
      </c>
      <c r="O17" t="n">
        <v>0</v>
      </c>
      <c r="P17" t="n">
        <v>1648072.06380429</v>
      </c>
      <c r="Q17" t="n">
        <v>58580.31365716938</v>
      </c>
      <c r="R17" t="n">
        <v>46878.65791663102</v>
      </c>
      <c r="S17" t="n">
        <v>11701.65574053836</v>
      </c>
      <c r="T17" t="n">
        <v>0</v>
      </c>
      <c r="U17" t="n">
        <v>0</v>
      </c>
      <c r="V17" t="n">
        <v>58580.31365716938</v>
      </c>
      <c r="W17" t="n">
        <v>46739.02249802295</v>
      </c>
      <c r="X17" t="n">
        <v>51681.34419164659</v>
      </c>
      <c r="Y17" t="n">
        <v>0</v>
      </c>
      <c r="Z17" t="n">
        <v>157000.6803468389</v>
      </c>
      <c r="AA17" t="n">
        <v>132427.230411065</v>
      </c>
      <c r="AB17" t="n">
        <v>24573.44993577388</v>
      </c>
      <c r="AC17" t="n">
        <v>0</v>
      </c>
    </row>
    <row r="18">
      <c r="A18" t="n">
        <v>2041</v>
      </c>
      <c r="B18" t="n">
        <v>76</v>
      </c>
      <c r="C18" t="inlineStr">
        <is>
          <t>retirement</t>
        </is>
      </c>
      <c r="D18" s="3" t="n">
        <v>0.05</v>
      </c>
      <c r="E18" t="n">
        <v>0</v>
      </c>
      <c r="F18" t="n">
        <v>0</v>
      </c>
      <c r="G18" t="n">
        <v>0</v>
      </c>
      <c r="H18" t="n">
        <v>55316.8163416246</v>
      </c>
      <c r="I18" t="n">
        <v>13807.95377383526</v>
      </c>
      <c r="J18" t="n">
        <v>13278.83307475461</v>
      </c>
      <c r="K18" t="n">
        <v>0</v>
      </c>
      <c r="L18" t="n">
        <v>1112638.242618247</v>
      </c>
      <c r="M18" t="n">
        <v>277732.1335015726</v>
      </c>
      <c r="N18" t="n">
        <v>278855.4945698469</v>
      </c>
      <c r="O18" t="n">
        <v>0</v>
      </c>
      <c r="P18" t="n">
        <v>1669225.870689666</v>
      </c>
      <c r="Q18" t="n">
        <v>61249.79630483785</v>
      </c>
      <c r="R18" t="n">
        <v>49014.9005558699</v>
      </c>
      <c r="S18" t="n">
        <v>12234.89574896796</v>
      </c>
      <c r="T18" t="n">
        <v>0</v>
      </c>
      <c r="U18" t="n">
        <v>0</v>
      </c>
      <c r="V18" t="n">
        <v>61249.79630483786</v>
      </c>
      <c r="W18" t="n">
        <v>48141.19317296365</v>
      </c>
      <c r="X18" t="n">
        <v>52714.97107547952</v>
      </c>
      <c r="Y18" t="n">
        <v>0</v>
      </c>
      <c r="Z18" t="n">
        <v>162105.960553281</v>
      </c>
      <c r="AA18" t="n">
        <v>136400.047323397</v>
      </c>
      <c r="AB18" t="n">
        <v>25705.91322988403</v>
      </c>
      <c r="AC18" t="n">
        <v>0</v>
      </c>
    </row>
    <row r="19">
      <c r="A19" t="n">
        <v>2042</v>
      </c>
      <c r="B19" t="n">
        <v>77</v>
      </c>
      <c r="C19" t="inlineStr">
        <is>
          <t>retirement</t>
        </is>
      </c>
      <c r="D19" s="3" t="n">
        <v>0.05</v>
      </c>
      <c r="E19" t="n">
        <v>0</v>
      </c>
      <c r="F19" t="n">
        <v>0</v>
      </c>
      <c r="G19" t="n">
        <v>0</v>
      </c>
      <c r="H19" t="n">
        <v>55631.91213091234</v>
      </c>
      <c r="I19" t="n">
        <v>13886.60667507863</v>
      </c>
      <c r="J19" t="n">
        <v>13942.77472849235</v>
      </c>
      <c r="K19" t="n">
        <v>0</v>
      </c>
      <c r="L19" t="n">
        <v>1117253.990786314</v>
      </c>
      <c r="M19" t="n">
        <v>278884.2973741774</v>
      </c>
      <c r="N19" t="n">
        <v>292798.2692983393</v>
      </c>
      <c r="O19" t="n">
        <v>0</v>
      </c>
      <c r="P19" t="n">
        <v>1688936.55745883</v>
      </c>
      <c r="Q19" t="n">
        <v>63750.60676531922</v>
      </c>
      <c r="R19" t="n">
        <v>51016.16396284537</v>
      </c>
      <c r="S19" t="n">
        <v>12734.44280247385</v>
      </c>
      <c r="T19" t="n">
        <v>0</v>
      </c>
      <c r="U19" t="n">
        <v>0</v>
      </c>
      <c r="V19" t="n">
        <v>63750.60676531922</v>
      </c>
      <c r="W19" t="n">
        <v>49585.42896815256</v>
      </c>
      <c r="X19" t="n">
        <v>53769.27049698911</v>
      </c>
      <c r="Y19" t="n">
        <v>0</v>
      </c>
      <c r="Z19" t="n">
        <v>167105.3062304609</v>
      </c>
      <c r="AA19" t="n">
        <v>140492.0487430989</v>
      </c>
      <c r="AB19" t="n">
        <v>26613.25748736196</v>
      </c>
      <c r="AC19" t="n">
        <v>0</v>
      </c>
    </row>
    <row r="20">
      <c r="A20" t="n">
        <v>2043</v>
      </c>
      <c r="B20" t="n">
        <v>78</v>
      </c>
      <c r="C20" t="inlineStr">
        <is>
          <t>retirement</t>
        </is>
      </c>
      <c r="D20" s="3" t="n">
        <v>0.05</v>
      </c>
      <c r="E20" t="n">
        <v>0</v>
      </c>
      <c r="F20" t="n">
        <v>0</v>
      </c>
      <c r="G20" t="n">
        <v>0</v>
      </c>
      <c r="H20" t="n">
        <v>55862.69953931568</v>
      </c>
      <c r="I20" t="n">
        <v>13944.21486870887</v>
      </c>
      <c r="J20" t="n">
        <v>14639.91346491696</v>
      </c>
      <c r="K20" t="n">
        <v>0</v>
      </c>
      <c r="L20" t="n">
        <v>1119793.204401737</v>
      </c>
      <c r="M20" t="n">
        <v>279518.125322755</v>
      </c>
      <c r="N20" t="n">
        <v>307438.1827632562</v>
      </c>
      <c r="O20" t="n">
        <v>0</v>
      </c>
      <c r="P20" t="n">
        <v>1706749.512487748</v>
      </c>
      <c r="Q20" t="n">
        <v>66633.87284402343</v>
      </c>
      <c r="R20" t="n">
        <v>53323.48592389224</v>
      </c>
      <c r="S20" t="n">
        <v>13310.38692013119</v>
      </c>
      <c r="T20" t="n">
        <v>0</v>
      </c>
      <c r="U20" t="n">
        <v>0</v>
      </c>
      <c r="V20" t="n">
        <v>66633.87284402343</v>
      </c>
      <c r="W20" t="n">
        <v>51072.99183719714</v>
      </c>
      <c r="X20" t="n">
        <v>54844.6559069289</v>
      </c>
      <c r="Y20" t="n">
        <v>0</v>
      </c>
      <c r="Z20" t="n">
        <v>172551.5205881495</v>
      </c>
      <c r="AA20" t="n">
        <v>144706.8102053919</v>
      </c>
      <c r="AB20" t="n">
        <v>27844.71038275756</v>
      </c>
      <c r="AC20" t="n">
        <v>0</v>
      </c>
    </row>
    <row r="21">
      <c r="A21" t="n">
        <v>2044</v>
      </c>
      <c r="B21" t="n">
        <v>79</v>
      </c>
      <c r="C21" t="inlineStr">
        <is>
          <t>retirement</t>
        </is>
      </c>
      <c r="D21" s="3" t="n">
        <v>0.05</v>
      </c>
      <c r="E21" t="n">
        <v>0</v>
      </c>
      <c r="F21" t="n">
        <v>0</v>
      </c>
      <c r="G21" t="n">
        <v>0</v>
      </c>
      <c r="H21" t="n">
        <v>55989.66022008686</v>
      </c>
      <c r="I21" t="n">
        <v>13975.90626613775</v>
      </c>
      <c r="J21" t="n">
        <v>15371.90913816281</v>
      </c>
      <c r="K21" t="n">
        <v>0</v>
      </c>
      <c r="L21" t="n">
        <v>1120058.558241643</v>
      </c>
      <c r="M21" t="n">
        <v>279584.3618453433</v>
      </c>
      <c r="N21" t="n">
        <v>322810.091901419</v>
      </c>
      <c r="O21" t="n">
        <v>0</v>
      </c>
      <c r="P21" t="n">
        <v>1722453.011988405</v>
      </c>
      <c r="Q21" t="n">
        <v>69633.97612373064</v>
      </c>
      <c r="R21" t="n">
        <v>55724.30638018122</v>
      </c>
      <c r="S21" t="n">
        <v>13909.66974354942</v>
      </c>
      <c r="T21" t="n">
        <v>0</v>
      </c>
      <c r="U21" t="n">
        <v>0</v>
      </c>
      <c r="V21" t="n">
        <v>69633.97612373064</v>
      </c>
      <c r="W21" t="n">
        <v>52605.18159231305</v>
      </c>
      <c r="X21" t="n">
        <v>55941.54902506747</v>
      </c>
      <c r="Y21" t="n">
        <v>0</v>
      </c>
      <c r="Z21" t="n">
        <v>178180.7067411112</v>
      </c>
      <c r="AA21" t="n">
        <v>149048.0145115536</v>
      </c>
      <c r="AB21" t="n">
        <v>29132.69222955755</v>
      </c>
      <c r="AC21" t="n">
        <v>0</v>
      </c>
    </row>
    <row r="22">
      <c r="A22" t="n">
        <v>2045</v>
      </c>
      <c r="B22" t="n">
        <v>80</v>
      </c>
      <c r="C22" t="inlineStr">
        <is>
          <t>retirement</t>
        </is>
      </c>
      <c r="D22" s="3" t="n">
        <v>0.05</v>
      </c>
      <c r="E22" t="n">
        <v>0</v>
      </c>
      <c r="F22" t="n">
        <v>0</v>
      </c>
      <c r="G22" t="n">
        <v>0</v>
      </c>
      <c r="H22" t="n">
        <v>56002.92791208213</v>
      </c>
      <c r="I22" t="n">
        <v>13979.21809226717</v>
      </c>
      <c r="J22" t="n">
        <v>16140.50459507095</v>
      </c>
      <c r="K22" t="n">
        <v>0</v>
      </c>
      <c r="L22" t="n">
        <v>1117840.62050255</v>
      </c>
      <c r="M22" t="n">
        <v>279030.7294456495</v>
      </c>
      <c r="N22" t="n">
        <v>338950.59649649</v>
      </c>
      <c r="O22" t="n">
        <v>0</v>
      </c>
      <c r="P22" t="n">
        <v>1735821.94644469</v>
      </c>
      <c r="Q22" t="n">
        <v>72753.7161431354</v>
      </c>
      <c r="R22" t="n">
        <v>58220.86565117448</v>
      </c>
      <c r="S22" t="n">
        <v>14532.85049196091</v>
      </c>
      <c r="T22" t="n">
        <v>0</v>
      </c>
      <c r="U22" t="n">
        <v>0</v>
      </c>
      <c r="V22" t="n">
        <v>72753.7161431354</v>
      </c>
      <c r="W22" t="n">
        <v>54183.33704008244</v>
      </c>
      <c r="X22" t="n">
        <v>57060.38000556883</v>
      </c>
      <c r="Y22" t="n">
        <v>0</v>
      </c>
      <c r="Z22" t="n">
        <v>183997.4331887867</v>
      </c>
      <c r="AA22" t="n">
        <v>153519.4549469003</v>
      </c>
      <c r="AB22" t="n">
        <v>30477.97824188642</v>
      </c>
      <c r="AC22" t="n">
        <v>0</v>
      </c>
    </row>
    <row r="23">
      <c r="A23" t="n">
        <v>2046</v>
      </c>
      <c r="B23" t="n">
        <v>81</v>
      </c>
      <c r="C23" t="inlineStr">
        <is>
          <t>retirement</t>
        </is>
      </c>
      <c r="D23" s="3" t="n">
        <v>0.05</v>
      </c>
      <c r="E23" t="n">
        <v>0</v>
      </c>
      <c r="F23" t="n">
        <v>0</v>
      </c>
      <c r="G23" t="n">
        <v>0</v>
      </c>
      <c r="H23" t="n">
        <v>55892.03102512751</v>
      </c>
      <c r="I23" t="n">
        <v>13951.53647228248</v>
      </c>
      <c r="J23" t="n">
        <v>16947.5298248245</v>
      </c>
      <c r="K23" t="n">
        <v>0</v>
      </c>
      <c r="L23" t="n">
        <v>1113230.968459241</v>
      </c>
      <c r="M23" t="n">
        <v>277880.0872623685</v>
      </c>
      <c r="N23" t="n">
        <v>355898.1263213145</v>
      </c>
      <c r="O23" t="n">
        <v>0</v>
      </c>
      <c r="P23" t="n">
        <v>1747009.182042924</v>
      </c>
      <c r="Q23" t="n">
        <v>75603.86172400051</v>
      </c>
      <c r="R23" t="n">
        <v>60501.683068437</v>
      </c>
      <c r="S23" t="n">
        <v>15102.17865556351</v>
      </c>
      <c r="T23" t="n">
        <v>0</v>
      </c>
      <c r="U23" t="n">
        <v>0</v>
      </c>
      <c r="V23" t="n">
        <v>75603.86172400051</v>
      </c>
      <c r="W23" t="n">
        <v>55808.83715128492</v>
      </c>
      <c r="X23" t="n">
        <v>58201.5876056802</v>
      </c>
      <c r="Y23" t="n">
        <v>0</v>
      </c>
      <c r="Z23" t="n">
        <v>189614.2864809656</v>
      </c>
      <c r="AA23" t="n">
        <v>158125.0385953073</v>
      </c>
      <c r="AB23" t="n">
        <v>31489.24788565835</v>
      </c>
      <c r="AC23" t="n">
        <v>0</v>
      </c>
    </row>
    <row r="24">
      <c r="A24" t="n">
        <v>2047</v>
      </c>
      <c r="B24" t="n">
        <v>82</v>
      </c>
      <c r="C24" t="inlineStr">
        <is>
          <t>retirement</t>
        </is>
      </c>
      <c r="D24" s="3" t="n">
        <v>0.05</v>
      </c>
      <c r="E24" t="n">
        <v>0</v>
      </c>
      <c r="F24" t="n">
        <v>0</v>
      </c>
      <c r="G24" t="n">
        <v>0</v>
      </c>
      <c r="H24" t="n">
        <v>55661.54842296203</v>
      </c>
      <c r="I24" t="n">
        <v>13894.00436311843</v>
      </c>
      <c r="J24" t="n">
        <v>17794.90631606572</v>
      </c>
      <c r="K24" t="n">
        <v>0</v>
      </c>
      <c r="L24" t="n">
        <v>1105709.137591273</v>
      </c>
      <c r="M24" t="n">
        <v>276002.5191051904</v>
      </c>
      <c r="N24" t="n">
        <v>373693.0326373802</v>
      </c>
      <c r="O24" t="n">
        <v>0</v>
      </c>
      <c r="P24" t="n">
        <v>1755404.689333844</v>
      </c>
      <c r="Q24" t="n">
        <v>78954.95181122646</v>
      </c>
      <c r="R24" t="n">
        <v>63183.37929092987</v>
      </c>
      <c r="S24" t="n">
        <v>15771.57252029659</v>
      </c>
      <c r="T24" t="n">
        <v>0</v>
      </c>
      <c r="U24" t="n">
        <v>0</v>
      </c>
      <c r="V24" t="n">
        <v>78954.95181122646</v>
      </c>
      <c r="W24" t="n">
        <v>57483.10226582347</v>
      </c>
      <c r="X24" t="n">
        <v>59365.61935779381</v>
      </c>
      <c r="Y24" t="n">
        <v>0</v>
      </c>
      <c r="Z24" t="n">
        <v>195803.6734348437</v>
      </c>
      <c r="AA24" t="n">
        <v>162868.7897531665</v>
      </c>
      <c r="AB24" t="n">
        <v>32934.88368167725</v>
      </c>
      <c r="AC24" t="n">
        <v>0</v>
      </c>
    </row>
    <row r="25">
      <c r="A25" t="n">
        <v>2048</v>
      </c>
      <c r="B25" t="n">
        <v>83</v>
      </c>
      <c r="C25" t="inlineStr">
        <is>
          <t>retirement</t>
        </is>
      </c>
      <c r="D25" s="3" t="n">
        <v>0.05</v>
      </c>
      <c r="E25" t="n">
        <v>0</v>
      </c>
      <c r="F25" t="n">
        <v>0</v>
      </c>
      <c r="G25" t="n">
        <v>0</v>
      </c>
      <c r="H25" t="n">
        <v>55285.45687956364</v>
      </c>
      <c r="I25" t="n">
        <v>13800.12595525952</v>
      </c>
      <c r="J25" t="n">
        <v>18684.65163186901</v>
      </c>
      <c r="K25" t="n">
        <v>0</v>
      </c>
      <c r="L25" t="n">
        <v>1095401.679528981</v>
      </c>
      <c r="M25" t="n">
        <v>273429.6142660742</v>
      </c>
      <c r="N25" t="n">
        <v>392377.6842692492</v>
      </c>
      <c r="O25" t="n">
        <v>0</v>
      </c>
      <c r="P25" t="n">
        <v>1761208.978064305</v>
      </c>
      <c r="Q25" t="n">
        <v>81965.94573623086</v>
      </c>
      <c r="R25" t="n">
        <v>65592.91494185517</v>
      </c>
      <c r="S25" t="n">
        <v>16373.0307943757</v>
      </c>
      <c r="T25" t="n">
        <v>0</v>
      </c>
      <c r="U25" t="n">
        <v>0</v>
      </c>
      <c r="V25" t="n">
        <v>81965.94573623087</v>
      </c>
      <c r="W25" t="n">
        <v>59207.59533379817</v>
      </c>
      <c r="X25" t="n">
        <v>60552.93174494969</v>
      </c>
      <c r="Y25" t="n">
        <v>0</v>
      </c>
      <c r="Z25" t="n">
        <v>201726.4728149787</v>
      </c>
      <c r="AA25" t="n">
        <v>167754.8534457615</v>
      </c>
      <c r="AB25" t="n">
        <v>33971.61936921725</v>
      </c>
      <c r="AC25" t="n">
        <v>0</v>
      </c>
    </row>
    <row r="26">
      <c r="A26" t="n">
        <v>2049</v>
      </c>
      <c r="B26" t="n">
        <v>84</v>
      </c>
      <c r="C26" t="inlineStr">
        <is>
          <t>retirement</t>
        </is>
      </c>
      <c r="D26" s="3" t="n">
        <v>0.05</v>
      </c>
      <c r="E26" t="n">
        <v>0</v>
      </c>
      <c r="F26" t="n">
        <v>0</v>
      </c>
      <c r="G26" t="n">
        <v>0</v>
      </c>
      <c r="H26" t="n">
        <v>54770.08397644907</v>
      </c>
      <c r="I26" t="n">
        <v>13671.48071330371</v>
      </c>
      <c r="J26" t="n">
        <v>19618.88421346246</v>
      </c>
      <c r="K26" t="n">
        <v>0</v>
      </c>
      <c r="L26" t="n">
        <v>1081709.158534869</v>
      </c>
      <c r="M26" t="n">
        <v>270011.7440877483</v>
      </c>
      <c r="N26" t="n">
        <v>411996.5684827117</v>
      </c>
      <c r="O26" t="n">
        <v>0</v>
      </c>
      <c r="P26" t="n">
        <v>1763717.471105329</v>
      </c>
      <c r="Q26" t="n">
        <v>85551.95586219095</v>
      </c>
      <c r="R26" t="n">
        <v>68462.60497056131</v>
      </c>
      <c r="S26" t="n">
        <v>17089.35089162964</v>
      </c>
      <c r="T26" t="n">
        <v>0</v>
      </c>
      <c r="U26" t="n">
        <v>0</v>
      </c>
      <c r="V26" t="n">
        <v>85551.95586219095</v>
      </c>
      <c r="W26" t="n">
        <v>60983.82319381212</v>
      </c>
      <c r="X26" t="n">
        <v>61763.99037984868</v>
      </c>
      <c r="Y26" t="n">
        <v>0</v>
      </c>
      <c r="Z26" t="n">
        <v>208299.7694358518</v>
      </c>
      <c r="AA26" t="n">
        <v>172787.4990491343</v>
      </c>
      <c r="AB26" t="n">
        <v>35512.27038671743</v>
      </c>
      <c r="AC26" t="n">
        <v>0</v>
      </c>
    </row>
    <row r="27">
      <c r="A27" t="n">
        <v>2050</v>
      </c>
      <c r="B27" t="n">
        <v>85</v>
      </c>
      <c r="C27" t="inlineStr">
        <is>
          <t>retirement</t>
        </is>
      </c>
      <c r="D27" s="3" t="n">
        <v>0.05</v>
      </c>
      <c r="E27" t="n">
        <v>0</v>
      </c>
      <c r="F27" t="n">
        <v>0</v>
      </c>
      <c r="G27" t="n">
        <v>0</v>
      </c>
      <c r="H27" t="n">
        <v>54085.45792674345</v>
      </c>
      <c r="I27" t="n">
        <v>13500.58720438742</v>
      </c>
      <c r="J27" t="n">
        <v>20599.82842413559</v>
      </c>
      <c r="K27" t="n">
        <v>0</v>
      </c>
      <c r="L27" t="n">
        <v>1064807.452932762</v>
      </c>
      <c r="M27" t="n">
        <v>265792.8105863772</v>
      </c>
      <c r="N27" t="n">
        <v>432596.3969068473</v>
      </c>
      <c r="O27" t="n">
        <v>0</v>
      </c>
      <c r="P27" t="n">
        <v>1763196.660425986</v>
      </c>
      <c r="Q27" t="n">
        <v>88706.68423460925</v>
      </c>
      <c r="R27" t="n">
        <v>70987.16352885077</v>
      </c>
      <c r="S27" t="n">
        <v>17719.52070575848</v>
      </c>
      <c r="T27" t="n">
        <v>0</v>
      </c>
      <c r="U27" t="n">
        <v>0</v>
      </c>
      <c r="V27" t="n">
        <v>88706.68423460925</v>
      </c>
      <c r="W27" t="n">
        <v>62813.33788962648</v>
      </c>
      <c r="X27" t="n">
        <v>62999.27018744565</v>
      </c>
      <c r="Y27" t="n">
        <v>0</v>
      </c>
      <c r="Z27" t="n">
        <v>214519.2923116814</v>
      </c>
      <c r="AA27" t="n">
        <v>177971.1240206084</v>
      </c>
      <c r="AB27" t="n">
        <v>36548.168291073</v>
      </c>
      <c r="AC27" t="n">
        <v>0</v>
      </c>
    </row>
    <row r="28">
      <c r="A28" t="n">
        <v>2051</v>
      </c>
      <c r="B28" t="n">
        <v>86</v>
      </c>
      <c r="C28" t="inlineStr">
        <is>
          <t>retirement</t>
        </is>
      </c>
      <c r="D28" s="3" t="n">
        <v>0.05</v>
      </c>
      <c r="E28" t="n">
        <v>0</v>
      </c>
      <c r="F28" t="n">
        <v>0</v>
      </c>
      <c r="G28" t="n">
        <v>0</v>
      </c>
      <c r="H28" t="n">
        <v>53240.37264663808</v>
      </c>
      <c r="I28" t="n">
        <v>13289.64052931886</v>
      </c>
      <c r="J28" t="n">
        <v>21629.81984534236</v>
      </c>
      <c r="K28" t="n">
        <v>0</v>
      </c>
      <c r="L28" t="n">
        <v>1044492.047580755</v>
      </c>
      <c r="M28" t="n">
        <v>260721.7635422951</v>
      </c>
      <c r="N28" t="n">
        <v>454226.2167521896</v>
      </c>
      <c r="O28" t="n">
        <v>0</v>
      </c>
      <c r="P28" t="n">
        <v>1759440.02787524</v>
      </c>
      <c r="Q28" t="n">
        <v>91916.4655720458</v>
      </c>
      <c r="R28" t="n">
        <v>73555.77799864473</v>
      </c>
      <c r="S28" t="n">
        <v>18360.68757340106</v>
      </c>
      <c r="T28" t="n">
        <v>0</v>
      </c>
      <c r="U28" t="n">
        <v>0</v>
      </c>
      <c r="V28" t="n">
        <v>91916.4655720458</v>
      </c>
      <c r="W28" t="n">
        <v>64697.73802631528</v>
      </c>
      <c r="X28" t="n">
        <v>64259.25559119457</v>
      </c>
      <c r="Y28" t="n">
        <v>0</v>
      </c>
      <c r="Z28" t="n">
        <v>220873.4591895556</v>
      </c>
      <c r="AA28" t="n">
        <v>183310.2577412266</v>
      </c>
      <c r="AB28" t="n">
        <v>37563.201448329</v>
      </c>
      <c r="AC28" t="n">
        <v>0</v>
      </c>
    </row>
    <row r="29">
      <c r="A29" t="n">
        <v>2052</v>
      </c>
      <c r="B29" t="n">
        <v>87</v>
      </c>
      <c r="C29" t="inlineStr">
        <is>
          <t>retirement</t>
        </is>
      </c>
      <c r="D29" s="3" t="n">
        <v>0.05</v>
      </c>
      <c r="E29" t="n">
        <v>0</v>
      </c>
      <c r="F29" t="n">
        <v>0</v>
      </c>
      <c r="G29" t="n">
        <v>0</v>
      </c>
      <c r="H29" t="n">
        <v>52224.60237903775</v>
      </c>
      <c r="I29" t="n">
        <v>13036.08817711475</v>
      </c>
      <c r="J29" t="n">
        <v>22711.31083760948</v>
      </c>
      <c r="K29" t="n">
        <v>0</v>
      </c>
      <c r="L29" t="n">
        <v>1020555.771490363</v>
      </c>
      <c r="M29" t="n">
        <v>254746.8897944508</v>
      </c>
      <c r="N29" t="n">
        <v>476937.5275897991</v>
      </c>
      <c r="O29" t="n">
        <v>0</v>
      </c>
      <c r="P29" t="n">
        <v>1752240.188874613</v>
      </c>
      <c r="Q29" t="n">
        <v>95171.84039438906</v>
      </c>
      <c r="R29" t="n">
        <v>76160.87846943004</v>
      </c>
      <c r="S29" t="n">
        <v>19010.96192495901</v>
      </c>
      <c r="T29" t="n">
        <v>0</v>
      </c>
      <c r="U29" t="n">
        <v>0</v>
      </c>
      <c r="V29" t="n">
        <v>95171.84039438906</v>
      </c>
      <c r="W29" t="n">
        <v>66638.67016710475</v>
      </c>
      <c r="X29" t="n">
        <v>65544.44070301847</v>
      </c>
      <c r="Y29" t="n">
        <v>0</v>
      </c>
      <c r="Z29" t="n">
        <v>227354.9512645123</v>
      </c>
      <c r="AA29" t="n">
        <v>188809.5654734634</v>
      </c>
      <c r="AB29" t="n">
        <v>38545.38579104882</v>
      </c>
      <c r="AC29" t="n">
        <v>0</v>
      </c>
    </row>
    <row r="30">
      <c r="A30" t="n">
        <v>2053</v>
      </c>
      <c r="B30" t="n">
        <v>88</v>
      </c>
      <c r="C30" t="inlineStr">
        <is>
          <t>retirement</t>
        </is>
      </c>
      <c r="D30" s="3" t="n">
        <v>0.05</v>
      </c>
      <c r="E30" t="n">
        <v>0</v>
      </c>
      <c r="F30" t="n">
        <v>0</v>
      </c>
      <c r="G30" t="n">
        <v>0</v>
      </c>
      <c r="H30" t="n">
        <v>51027.78857451813</v>
      </c>
      <c r="I30" t="n">
        <v>12737.34448972254</v>
      </c>
      <c r="J30" t="n">
        <v>23846.87637948996</v>
      </c>
      <c r="K30" t="n">
        <v>0</v>
      </c>
      <c r="L30" t="n">
        <v>993365.7819579551</v>
      </c>
      <c r="M30" t="n">
        <v>247959.837621095</v>
      </c>
      <c r="N30" t="n">
        <v>500784.403969289</v>
      </c>
      <c r="O30" t="n">
        <v>0</v>
      </c>
      <c r="P30" t="n">
        <v>1742110.023548339</v>
      </c>
      <c r="Q30" t="n">
        <v>97742.17477000394</v>
      </c>
      <c r="R30" t="n">
        <v>78217.7781069256</v>
      </c>
      <c r="S30" t="n">
        <v>19524.39666307835</v>
      </c>
      <c r="T30" t="n">
        <v>0</v>
      </c>
      <c r="U30" t="n">
        <v>0</v>
      </c>
      <c r="V30" t="n">
        <v>97742.17477000394</v>
      </c>
      <c r="W30" t="n">
        <v>68637.83027211789</v>
      </c>
      <c r="X30" t="n">
        <v>66855.32951707883</v>
      </c>
      <c r="Y30" t="n">
        <v>0</v>
      </c>
      <c r="Z30" t="n">
        <v>233235.3345592007</v>
      </c>
      <c r="AA30" t="n">
        <v>194473.8524376673</v>
      </c>
      <c r="AB30" t="n">
        <v>38761.48212153334</v>
      </c>
      <c r="AC30" t="n">
        <v>0</v>
      </c>
    </row>
    <row r="31">
      <c r="A31" t="n">
        <v>2054</v>
      </c>
      <c r="B31" t="n">
        <v>89</v>
      </c>
      <c r="C31" t="inlineStr">
        <is>
          <t>retirement</t>
        </is>
      </c>
      <c r="D31" s="3" t="n">
        <v>0.05</v>
      </c>
      <c r="E31" t="n">
        <v>0</v>
      </c>
      <c r="F31" t="n">
        <v>0</v>
      </c>
      <c r="G31" t="n">
        <v>0</v>
      </c>
      <c r="H31" t="n">
        <v>49668.28909789776</v>
      </c>
      <c r="I31" t="n">
        <v>12397.99188105475</v>
      </c>
      <c r="J31" t="n">
        <v>25039.22019846445</v>
      </c>
      <c r="K31" t="n">
        <v>0</v>
      </c>
      <c r="L31" t="n">
        <v>962178.7167104379</v>
      </c>
      <c r="M31" t="n">
        <v>240175.0520213629</v>
      </c>
      <c r="N31" t="n">
        <v>525823.6241677535</v>
      </c>
      <c r="O31" t="n">
        <v>0</v>
      </c>
      <c r="P31" t="n">
        <v>1728177.392899554</v>
      </c>
      <c r="Q31" t="n">
        <v>101038.1318262017</v>
      </c>
      <c r="R31" t="n">
        <v>80855.35434541495</v>
      </c>
      <c r="S31" t="n">
        <v>20182.7774807868</v>
      </c>
      <c r="T31" t="n">
        <v>0</v>
      </c>
      <c r="U31" t="n">
        <v>0</v>
      </c>
      <c r="V31" t="n">
        <v>101038.1318262017</v>
      </c>
      <c r="W31" t="n">
        <v>70696.96518028142</v>
      </c>
      <c r="X31" t="n">
        <v>68192.43610742041</v>
      </c>
      <c r="Y31" t="n">
        <v>0</v>
      </c>
      <c r="Z31" t="n">
        <v>239927.5331139036</v>
      </c>
      <c r="AA31" t="n">
        <v>200308.0680107974</v>
      </c>
      <c r="AB31" t="n">
        <v>39619.46510310619</v>
      </c>
      <c r="AC31" t="n">
        <v>0</v>
      </c>
    </row>
    <row r="32">
      <c r="A32" t="n">
        <v>2055</v>
      </c>
      <c r="B32" t="n">
        <v>90</v>
      </c>
      <c r="C32" t="inlineStr">
        <is>
          <t>retirement</t>
        </is>
      </c>
      <c r="D32" s="3" t="n">
        <v>0.05</v>
      </c>
      <c r="E32" t="n">
        <v>0</v>
      </c>
      <c r="F32" t="n">
        <v>0</v>
      </c>
      <c r="G32" t="n">
        <v>0</v>
      </c>
      <c r="H32" t="n">
        <v>48108.9358355219</v>
      </c>
      <c r="I32" t="n">
        <v>12008.75260106815</v>
      </c>
      <c r="J32" t="n">
        <v>26291.18120838768</v>
      </c>
      <c r="K32" t="n">
        <v>0</v>
      </c>
      <c r="L32" t="n">
        <v>927477.1892225205</v>
      </c>
      <c r="M32" t="n">
        <v>231513.0009648548</v>
      </c>
      <c r="N32" t="n">
        <v>552114.8053761412</v>
      </c>
      <c r="O32" t="n">
        <v>0</v>
      </c>
      <c r="P32" t="n">
        <v>1711104.995563516</v>
      </c>
      <c r="Q32" t="n">
        <v>103481.2669810157</v>
      </c>
      <c r="R32" t="n">
        <v>82810.46332343934</v>
      </c>
      <c r="S32" t="n">
        <v>20670.80365757632</v>
      </c>
      <c r="T32" t="n">
        <v>0</v>
      </c>
      <c r="U32" t="n">
        <v>0</v>
      </c>
      <c r="V32" t="n">
        <v>103481.2669810157</v>
      </c>
      <c r="W32" t="n">
        <v>72817.87413568987</v>
      </c>
      <c r="X32" t="n">
        <v>69556.28482956883</v>
      </c>
      <c r="Y32" t="n">
        <v>0</v>
      </c>
      <c r="Z32" t="n">
        <v>245855.4259462743</v>
      </c>
      <c r="AA32" t="n">
        <v>206317.3100511213</v>
      </c>
      <c r="AB32" t="n">
        <v>39538.11589515305</v>
      </c>
      <c r="AC32" t="n">
        <v>0</v>
      </c>
    </row>
    <row r="34">
      <c r="A34" t="inlineStr">
        <is>
          <t>Chart data (retirement)</t>
        </is>
      </c>
    </row>
    <row r="35">
      <c r="A35" t="inlineStr">
        <is>
          <t>year</t>
        </is>
      </c>
      <c r="B35" t="inlineStr">
        <is>
          <t>pension_income</t>
        </is>
      </c>
      <c r="C35" t="inlineStr">
        <is>
          <t>ss_income</t>
        </is>
      </c>
      <c r="D35" t="inlineStr">
        <is>
          <t>withdrawal_total</t>
        </is>
      </c>
    </row>
    <row r="36">
      <c r="A36" t="n">
        <v>2030</v>
      </c>
      <c r="B36" t="n">
        <v>34778.222229</v>
      </c>
      <c r="C36" t="n">
        <v>0</v>
      </c>
      <c r="D36" t="n">
        <v>63760.0740865</v>
      </c>
    </row>
    <row r="37">
      <c r="A37" t="n">
        <v>2031</v>
      </c>
      <c r="B37" t="n">
        <v>35821.56889587</v>
      </c>
      <c r="C37" t="n">
        <v>0</v>
      </c>
      <c r="D37" t="n">
        <v>65672.87630909501</v>
      </c>
    </row>
    <row r="38">
      <c r="A38" t="n">
        <v>2032</v>
      </c>
      <c r="B38" t="n">
        <v>36896.21596274611</v>
      </c>
      <c r="C38" t="n">
        <v>44109.52963773235</v>
      </c>
      <c r="D38" t="n">
        <v>23533.53296063551</v>
      </c>
    </row>
    <row r="39">
      <c r="A39" t="n">
        <v>2033</v>
      </c>
      <c r="B39" t="n">
        <v>38003.10244162849</v>
      </c>
      <c r="C39" t="n">
        <v>44991.72023048701</v>
      </c>
      <c r="D39" t="n">
        <v>24680.6342458319</v>
      </c>
    </row>
    <row r="40">
      <c r="A40" t="n">
        <v>2034</v>
      </c>
      <c r="B40" t="n">
        <v>39143.19551487735</v>
      </c>
      <c r="C40" t="n">
        <v>45891.55463509674</v>
      </c>
      <c r="D40" t="n">
        <v>25870.97047551173</v>
      </c>
    </row>
    <row r="41">
      <c r="A41" t="n">
        <v>2035</v>
      </c>
      <c r="B41" t="n">
        <v>40317.49138032366</v>
      </c>
      <c r="C41" t="n">
        <v>46809.38572779868</v>
      </c>
      <c r="D41" t="n">
        <v>27106.01513612804</v>
      </c>
    </row>
    <row r="42">
      <c r="A42" t="n">
        <v>2036</v>
      </c>
      <c r="B42" t="n">
        <v>41527.01612173338</v>
      </c>
      <c r="C42" t="n">
        <v>47745.57344235465</v>
      </c>
      <c r="D42" t="n">
        <v>28387.28944748986</v>
      </c>
    </row>
    <row r="43">
      <c r="A43" t="n">
        <v>2037</v>
      </c>
      <c r="B43" t="n">
        <v>42772.82660538538</v>
      </c>
      <c r="C43" t="n">
        <v>48700.48491120175</v>
      </c>
      <c r="D43" t="n">
        <v>29716.36386533811</v>
      </c>
    </row>
    <row r="44">
      <c r="A44" t="n">
        <v>2038</v>
      </c>
      <c r="B44" t="n">
        <v>44056.01140354695</v>
      </c>
      <c r="C44" t="n">
        <v>49674.49460942579</v>
      </c>
      <c r="D44" t="n">
        <v>31094.85963041027</v>
      </c>
    </row>
    <row r="45">
      <c r="A45" t="n">
        <v>2039</v>
      </c>
      <c r="B45" t="n">
        <v>45377.69174565336</v>
      </c>
      <c r="C45" t="n">
        <v>50667.9845016143</v>
      </c>
      <c r="D45" t="n">
        <v>32524.45036541685</v>
      </c>
    </row>
    <row r="46">
      <c r="A46" t="n">
        <v>2040</v>
      </c>
      <c r="B46" t="n">
        <v>46739.02249802295</v>
      </c>
      <c r="C46" t="n">
        <v>51681.34419164659</v>
      </c>
      <c r="D46" t="n">
        <v>58580.31365716938</v>
      </c>
    </row>
    <row r="47">
      <c r="A47" t="n">
        <v>2041</v>
      </c>
      <c r="B47" t="n">
        <v>48141.19317296365</v>
      </c>
      <c r="C47" t="n">
        <v>52714.97107547952</v>
      </c>
      <c r="D47" t="n">
        <v>61249.79630483786</v>
      </c>
    </row>
    <row r="48">
      <c r="A48" t="n">
        <v>2042</v>
      </c>
      <c r="B48" t="n">
        <v>49585.42896815256</v>
      </c>
      <c r="C48" t="n">
        <v>53769.27049698911</v>
      </c>
      <c r="D48" t="n">
        <v>63750.60676531922</v>
      </c>
    </row>
    <row r="49">
      <c r="A49" t="n">
        <v>2043</v>
      </c>
      <c r="B49" t="n">
        <v>51072.99183719714</v>
      </c>
      <c r="C49" t="n">
        <v>54844.6559069289</v>
      </c>
      <c r="D49" t="n">
        <v>66633.87284402343</v>
      </c>
    </row>
    <row r="50">
      <c r="A50" t="n">
        <v>2044</v>
      </c>
      <c r="B50" t="n">
        <v>52605.18159231305</v>
      </c>
      <c r="C50" t="n">
        <v>55941.54902506747</v>
      </c>
      <c r="D50" t="n">
        <v>69633.97612373064</v>
      </c>
    </row>
    <row r="51">
      <c r="A51" t="n">
        <v>2045</v>
      </c>
      <c r="B51" t="n">
        <v>54183.33704008244</v>
      </c>
      <c r="C51" t="n">
        <v>57060.38000556883</v>
      </c>
      <c r="D51" t="n">
        <v>72753.7161431354</v>
      </c>
    </row>
    <row r="52">
      <c r="A52" t="n">
        <v>2046</v>
      </c>
      <c r="B52" t="n">
        <v>55808.83715128492</v>
      </c>
      <c r="C52" t="n">
        <v>58201.5876056802</v>
      </c>
      <c r="D52" t="n">
        <v>75603.86172400051</v>
      </c>
    </row>
    <row r="53">
      <c r="A53" t="n">
        <v>2047</v>
      </c>
      <c r="B53" t="n">
        <v>57483.10226582347</v>
      </c>
      <c r="C53" t="n">
        <v>59365.61935779381</v>
      </c>
      <c r="D53" t="n">
        <v>78954.95181122646</v>
      </c>
    </row>
    <row r="54">
      <c r="A54" t="n">
        <v>2048</v>
      </c>
      <c r="B54" t="n">
        <v>59207.59533379817</v>
      </c>
      <c r="C54" t="n">
        <v>60552.93174494969</v>
      </c>
      <c r="D54" t="n">
        <v>81965.94573623087</v>
      </c>
    </row>
    <row r="55">
      <c r="A55" t="n">
        <v>2049</v>
      </c>
      <c r="B55" t="n">
        <v>60983.82319381212</v>
      </c>
      <c r="C55" t="n">
        <v>61763.99037984868</v>
      </c>
      <c r="D55" t="n">
        <v>85551.95586219095</v>
      </c>
    </row>
    <row r="56">
      <c r="A56" t="n">
        <v>2050</v>
      </c>
      <c r="B56" t="n">
        <v>62813.33788962648</v>
      </c>
      <c r="C56" t="n">
        <v>62999.27018744565</v>
      </c>
      <c r="D56" t="n">
        <v>88706.68423460925</v>
      </c>
    </row>
    <row r="57">
      <c r="A57" t="n">
        <v>2051</v>
      </c>
      <c r="B57" t="n">
        <v>64697.73802631528</v>
      </c>
      <c r="C57" t="n">
        <v>64259.25559119457</v>
      </c>
      <c r="D57" t="n">
        <v>91916.4655720458</v>
      </c>
    </row>
    <row r="58">
      <c r="A58" t="n">
        <v>2052</v>
      </c>
      <c r="B58" t="n">
        <v>66638.67016710475</v>
      </c>
      <c r="C58" t="n">
        <v>65544.44070301847</v>
      </c>
      <c r="D58" t="n">
        <v>95171.84039438906</v>
      </c>
    </row>
    <row r="59">
      <c r="A59" t="n">
        <v>2053</v>
      </c>
      <c r="B59" t="n">
        <v>68637.83027211789</v>
      </c>
      <c r="C59" t="n">
        <v>66855.32951707883</v>
      </c>
      <c r="D59" t="n">
        <v>97742.17477000394</v>
      </c>
    </row>
    <row r="60">
      <c r="A60" t="n">
        <v>2054</v>
      </c>
      <c r="B60" t="n">
        <v>70696.96518028142</v>
      </c>
      <c r="C60" t="n">
        <v>68192.43610742041</v>
      </c>
      <c r="D60" t="n">
        <v>101038.1318262017</v>
      </c>
    </row>
    <row r="61">
      <c r="A61" t="n">
        <v>2055</v>
      </c>
      <c r="B61" t="n">
        <v>72817.87413568987</v>
      </c>
      <c r="C61" t="n">
        <v>69556.28482956883</v>
      </c>
      <c r="D61" t="n">
        <v>103481.2669810157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2026-09-26T01:48:23Z</dcterms:created>
  <dcterms:modified xsi:type="dcterms:W3CDTF">2026-09-26T01:48:24Z</dcterms:modified>
</cp:coreProperties>
</file>